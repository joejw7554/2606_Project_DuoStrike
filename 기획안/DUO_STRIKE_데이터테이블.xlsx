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플레이어" sheetId="2" r:id="rId5"/>
    <sheet state="visible" name="무기" sheetId="3" r:id="rId6"/>
    <sheet state="visible" name="적" sheetId="4" r:id="rId7"/>
    <sheet state="visible" name="스킬" sheetId="5" r:id="rId8"/>
    <sheet state="visible" name="상점_강화" sheetId="6" r:id="rId9"/>
    <sheet state="visible" name="힐_아이템" sheetId="7" r:id="rId10"/>
    <sheet state="visible" name="웨이브" sheetId="8" r:id="rId11"/>
    <sheet state="visible" name="무한모드" sheetId="9" r:id="rId12"/>
  </sheets>
  <definedNames/>
  <calcPr/>
  <extLst>
    <ext uri="GoogleSheetsCustomDataVersion2">
      <go:sheetsCustomData xmlns:go="http://customooxmlschemas.google.com/" r:id="rId13" roundtripDataChecksum="iTF6uwuEWAKQ2whPnf+7TplcZ/6k54sawelJrrICTdo="/>
    </ext>
  </extLst>
</workbook>
</file>

<file path=xl/sharedStrings.xml><?xml version="1.0" encoding="utf-8"?>
<sst xmlns="http://schemas.openxmlformats.org/spreadsheetml/2006/main" count="258" uniqueCount="222">
  <si>
    <r>
      <rPr>
        <rFont val="Arial"/>
        <b/>
        <color rgb="FF1F4E79"/>
        <sz val="14.0"/>
      </rPr>
      <t xml:space="preserve">DUO STRIKE </t>
    </r>
    <r>
      <rPr>
        <rFont val="Noto Sans CJK SC"/>
        <b/>
        <color rgb="FF1F4E79"/>
        <sz val="14.0"/>
      </rPr>
      <t xml:space="preserve">데이터 테이블 </t>
    </r>
    <r>
      <rPr>
        <rFont val="Arial"/>
        <b/>
        <color rgb="FF1F4E79"/>
        <sz val="14.0"/>
      </rPr>
      <t>(v1)</t>
    </r>
  </si>
  <si>
    <t>이 문서는 게임 밸런스의 '출발점' 수치입니다. 정답이 아니며 플레이테스트를 통해 계속 조정됩니다.</t>
  </si>
  <si>
    <t>범례</t>
  </si>
  <si>
    <t>파란색 숫자</t>
  </si>
  <si>
    <t>밸런스 조정 대상 (플레이테스트 후 변경 예정)</t>
  </si>
  <si>
    <t>검은색 숫자</t>
  </si>
  <si>
    <t>계산값 또는 고정값</t>
  </si>
  <si>
    <t>시트 구성</t>
  </si>
  <si>
    <t>플레이어</t>
  </si>
  <si>
    <t>플레이어 기본 스탯</t>
  </si>
  <si>
    <t>무기</t>
  </si>
  <si>
    <t>주무기 3종 + 권총 2종</t>
  </si>
  <si>
    <t>적</t>
  </si>
  <si>
    <t>적 4종 + 보스</t>
  </si>
  <si>
    <t>스킬</t>
  </si>
  <si>
    <t>스킬 3종 + 게이지</t>
  </si>
  <si>
    <t>상점_강화</t>
  </si>
  <si>
    <t>골드 상점 + 무료 강화 선택지</t>
  </si>
  <si>
    <t>힐_아이템</t>
  </si>
  <si>
    <t>힐 아이템 데이터</t>
  </si>
  <si>
    <t>웨이브</t>
  </si>
  <si>
    <t>스테이지 1 웨이브 구성</t>
  </si>
  <si>
    <t>무한모드</t>
  </si>
  <si>
    <t>무한 모드 난이도 공식</t>
  </si>
  <si>
    <t>항목</t>
  </si>
  <si>
    <t>값</t>
  </si>
  <si>
    <t>비고</t>
  </si>
  <si>
    <t>최대 체력</t>
  </si>
  <si>
    <t>기준값</t>
  </si>
  <si>
    <t>이동속도</t>
  </si>
  <si>
    <r>
      <rPr>
        <rFont val="Arial"/>
        <color theme="1"/>
        <sz val="10.0"/>
      </rPr>
      <t xml:space="preserve">Unity </t>
    </r>
    <r>
      <rPr>
        <rFont val="Noto Sans CJK SC"/>
        <color theme="1"/>
        <sz val="10.0"/>
      </rPr>
      <t xml:space="preserve">단위 </t>
    </r>
    <r>
      <rPr>
        <rFont val="Arial"/>
        <color theme="1"/>
        <sz val="10.0"/>
      </rPr>
      <t>(m/s)</t>
    </r>
  </si>
  <si>
    <t>달리기 속도</t>
  </si>
  <si>
    <t>이동속도 ×1.5</t>
  </si>
  <si>
    <t>기본 공격력 배율</t>
  </si>
  <si>
    <t>무기 데미지에 곱해짐</t>
  </si>
  <si>
    <t>주무기 데이터 (코먼 등급 기준)</t>
  </si>
  <si>
    <t>데미지</t>
  </si>
  <si>
    <t>연사(발/초)</t>
  </si>
  <si>
    <t>사거리(m)</t>
  </si>
  <si>
    <t>장탄수</t>
  </si>
  <si>
    <t>재장전(초)</t>
  </si>
  <si>
    <t>관통률(%)</t>
  </si>
  <si>
    <t>관통추가(%)</t>
  </si>
  <si>
    <t>DPS</t>
  </si>
  <si>
    <t>소총</t>
  </si>
  <si>
    <t>어썰트라이플</t>
  </si>
  <si>
    <t>저격소총</t>
  </si>
  <si>
    <t>권총 데이터 (보조 무기, 탄약 무한)</t>
  </si>
  <si>
    <t>권총</t>
  </si>
  <si>
    <t>리볼버</t>
  </si>
  <si>
    <t>글록</t>
  </si>
  <si>
    <t>적 데이터 (MVP 3종, 체력 배율 적용 / 공격력 고정값)</t>
  </si>
  <si>
    <t>공격력 1당 골드2로 계산 Max= 최소의 +5</t>
  </si>
  <si>
    <t>체력</t>
  </si>
  <si>
    <t>공격력</t>
  </si>
  <si>
    <t>골드(최소)</t>
  </si>
  <si>
    <t>골드(최대)</t>
  </si>
  <si>
    <t>특이사항</t>
  </si>
  <si>
    <t>일반 보병</t>
  </si>
  <si>
    <t>소총 3발에 사망</t>
  </si>
  <si>
    <t>엘리트</t>
  </si>
  <si>
    <t>회피 스텝</t>
  </si>
  <si>
    <t>저격형</t>
  </si>
  <si>
    <t>원거리, 낮은 체력</t>
  </si>
  <si>
    <t>보스: 브라보</t>
  </si>
  <si>
    <t>총 체력</t>
  </si>
  <si>
    <t>일반 보병 ×50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</si>
  <si>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페이즈 공격 배율</t>
    </r>
  </si>
  <si>
    <t>×10</t>
  </si>
  <si>
    <t>일반 보병 기준</t>
  </si>
  <si>
    <r>
      <rPr>
        <rFont val="Arial"/>
        <color theme="1"/>
        <sz val="10.0"/>
      </rPr>
      <t>2</t>
    </r>
    <r>
      <rPr>
        <rFont val="Noto Sans CJK SC"/>
        <color theme="1"/>
        <sz val="10.0"/>
      </rPr>
      <t>페이즈 공격 배율</t>
    </r>
  </si>
  <si>
    <t>×15</t>
  </si>
  <si>
    <t>페이즈 전환</t>
  </si>
  <si>
    <t>체력 50% (750)</t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</si>
  <si>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>초 무적</t>
    </r>
  </si>
  <si>
    <t>골드 드롭</t>
  </si>
  <si>
    <t>브라보 패턴</t>
  </si>
  <si>
    <t>패턴</t>
  </si>
  <si>
    <t>페이즈</t>
  </si>
  <si>
    <t>쿨다운(초)</t>
  </si>
  <si>
    <t>일반 사격</t>
  </si>
  <si>
    <t>50</t>
  </si>
  <si>
    <t>산탄 사격</t>
  </si>
  <si>
    <r>
      <rPr>
        <rFont val="Arial"/>
        <color rgb="FF0000FF"/>
        <sz val="10.0"/>
      </rPr>
      <t>30 ×3</t>
    </r>
    <r>
      <rPr>
        <rFont val="Noto Sans CJK SC"/>
        <color rgb="FF0000FF"/>
        <sz val="10.0"/>
      </rPr>
      <t>발</t>
    </r>
  </si>
  <si>
    <t>돌진</t>
  </si>
  <si>
    <t>80</t>
  </si>
  <si>
    <t>방어막</t>
  </si>
  <si>
    <r>
      <rPr>
        <rFont val="Arial"/>
        <color rgb="FF0000FF"/>
        <sz val="10.0"/>
      </rPr>
      <t>15 (5</t>
    </r>
    <r>
      <rPr>
        <rFont val="Noto Sans CJK SC"/>
        <color rgb="FF0000FF"/>
        <sz val="10.0"/>
      </rPr>
      <t>초 지속</t>
    </r>
    <r>
      <rPr>
        <rFont val="Arial"/>
        <color rgb="FF0000FF"/>
        <sz val="10.0"/>
      </rPr>
      <t>)</t>
    </r>
  </si>
  <si>
    <t>-</t>
  </si>
  <si>
    <t>수류탄 난사</t>
  </si>
  <si>
    <t>60 ×3</t>
  </si>
  <si>
    <t>스킬 데이터</t>
  </si>
  <si>
    <t>키</t>
  </si>
  <si>
    <t>타입</t>
  </si>
  <si>
    <t>쿨다운/게이지</t>
  </si>
  <si>
    <t>효과</t>
  </si>
  <si>
    <t>지속시간</t>
  </si>
  <si>
    <t>전술 구르기</t>
  </si>
  <si>
    <t>Space</t>
  </si>
  <si>
    <t>쿨타임</t>
  </si>
  <si>
    <r>
      <rPr>
        <rFont val="Arial"/>
        <color rgb="FF0000FF"/>
        <sz val="10.0"/>
      </rPr>
      <t>4</t>
    </r>
    <r>
      <rPr>
        <rFont val="Noto Sans CJK SC"/>
        <color rgb="FF0000FF"/>
        <sz val="10.0"/>
      </rPr>
      <t>초</t>
    </r>
  </si>
  <si>
    <t>대시 + 무적</t>
  </si>
  <si>
    <r>
      <rPr>
        <rFont val="Arial"/>
        <color theme="1"/>
        <sz val="10.0"/>
      </rPr>
      <t>0.5</t>
    </r>
    <r>
      <rPr>
        <rFont val="Noto Sans CJK SC"/>
        <color theme="1"/>
        <sz val="10.0"/>
      </rPr>
      <t>초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무적</t>
    </r>
    <r>
      <rPr>
        <rFont val="Arial"/>
        <color theme="1"/>
        <sz val="10.0"/>
      </rPr>
      <t>)</t>
    </r>
  </si>
  <si>
    <t>집중 사격</t>
  </si>
  <si>
    <t>Q</t>
  </si>
  <si>
    <r>
      <rPr>
        <rFont val="Arial"/>
        <color rgb="FF0000FF"/>
        <sz val="10.0"/>
      </rPr>
      <t>12</t>
    </r>
    <r>
      <rPr>
        <rFont val="Noto Sans CJK SC"/>
        <color rgb="FF0000FF"/>
        <sz val="10.0"/>
      </rPr>
      <t>초</t>
    </r>
  </si>
  <si>
    <t>데미지 +50%, 이동속도 -30%</t>
  </si>
  <si>
    <r>
      <rPr>
        <rFont val="Arial"/>
        <color theme="1"/>
        <sz val="10.0"/>
      </rPr>
      <t>5</t>
    </r>
    <r>
      <rPr>
        <rFont val="Noto Sans CJK SC"/>
        <color theme="1"/>
        <sz val="10.0"/>
      </rPr>
      <t>초</t>
    </r>
  </si>
  <si>
    <t>수류탄</t>
  </si>
  <si>
    <t>E</t>
  </si>
  <si>
    <t>게이지</t>
  </si>
  <si>
    <r>
      <rPr>
        <rFont val="Arial"/>
        <color rgb="FF0000FF"/>
        <sz val="10.0"/>
      </rPr>
      <t xml:space="preserve">100 </t>
    </r>
    <r>
      <rPr>
        <rFont val="Noto Sans CJK SC"/>
        <color rgb="FF0000FF"/>
        <sz val="10.0"/>
      </rPr>
      <t>충전</t>
    </r>
  </si>
  <si>
    <t>광역 폭발 (데미지 100, 반경 3.5m)</t>
  </si>
  <si>
    <t>즉발</t>
  </si>
  <si>
    <t>수류탄 게이지 충전량 (최대 100, 웨이브당 약 1회 목표)</t>
  </si>
  <si>
    <t>충전 소스</t>
  </si>
  <si>
    <t>충전량</t>
  </si>
  <si>
    <t>일반 보병 처치</t>
  </si>
  <si>
    <t>엘리트 처치</t>
  </si>
  <si>
    <t>저격형/방패형 처치</t>
  </si>
  <si>
    <t>데미지 입힐 때</t>
  </si>
  <si>
    <r>
      <rPr>
        <rFont val="Arial"/>
        <color rgb="FF0000FF"/>
        <sz val="10.0"/>
      </rPr>
      <t>100</t>
    </r>
    <r>
      <rPr>
        <rFont val="Noto Sans CJK SC"/>
        <color rgb="FF0000FF"/>
        <sz val="10.0"/>
      </rPr>
      <t xml:space="preserve">당 </t>
    </r>
    <r>
      <rPr>
        <rFont val="Arial"/>
        <color rgb="FF0000FF"/>
        <sz val="10.0"/>
      </rPr>
      <t>+1</t>
    </r>
  </si>
  <si>
    <r>
      <rPr>
        <rFont val="Noto Sans CJK SC"/>
        <b/>
        <color rgb="FF1F4E79"/>
        <sz val="14.0"/>
      </rPr>
      <t xml:space="preserve">골드 상점 </t>
    </r>
    <r>
      <rPr>
        <rFont val="Arial"/>
        <b/>
        <color rgb="FF1F4E79"/>
        <sz val="14.0"/>
      </rPr>
      <t>(</t>
    </r>
    <r>
      <rPr>
        <rFont val="Noto Sans CJK SC"/>
        <b/>
        <color rgb="FF1F4E79"/>
        <sz val="14.0"/>
      </rPr>
      <t>업그레이드 타임 우측</t>
    </r>
    <r>
      <rPr>
        <rFont val="Arial"/>
        <b/>
        <color rgb="FF1F4E79"/>
        <sz val="14.0"/>
      </rPr>
      <t>)</t>
    </r>
  </si>
  <si>
    <r>
      <rPr>
        <rFont val="Noto Sans CJK SC"/>
        <i/>
        <color rgb="FF808080"/>
        <sz val="9.0"/>
      </rPr>
      <t xml:space="preserve">무기 파츠 </t>
    </r>
    <r>
      <rPr>
        <rFont val="Arial"/>
        <i/>
        <color rgb="FF808080"/>
        <sz val="9.0"/>
      </rPr>
      <t xml:space="preserve">+ </t>
    </r>
    <r>
      <rPr>
        <rFont val="Noto Sans CJK SC"/>
        <i/>
        <color rgb="FF808080"/>
        <sz val="9.0"/>
      </rPr>
      <t xml:space="preserve">능력치 강화 </t>
    </r>
    <r>
      <rPr>
        <rFont val="Arial"/>
        <i/>
        <color rgb="FF808080"/>
        <sz val="9.0"/>
      </rPr>
      <t xml:space="preserve">+ </t>
    </r>
    <r>
      <rPr>
        <rFont val="Noto Sans CJK SC"/>
        <i/>
        <color rgb="FF808080"/>
        <sz val="9.0"/>
      </rPr>
      <t>힐</t>
    </r>
    <r>
      <rPr>
        <rFont val="Arial"/>
        <i/>
        <color rgb="FF808080"/>
        <sz val="9.0"/>
      </rPr>
      <t xml:space="preserve">. </t>
    </r>
    <r>
      <rPr>
        <rFont val="Noto Sans CJK SC"/>
        <i/>
        <color rgb="FF808080"/>
        <sz val="9.0"/>
      </rPr>
      <t>체력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이동속도는 무료 강화와 합연산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의도된 설계</t>
    </r>
    <r>
      <rPr>
        <rFont val="Arial"/>
        <i/>
        <color rgb="FF808080"/>
        <sz val="9.0"/>
      </rPr>
      <t>).</t>
    </r>
  </si>
  <si>
    <t>가격(골드)</t>
  </si>
  <si>
    <t>제한</t>
  </si>
  <si>
    <t>힐 아이템</t>
  </si>
  <si>
    <t>보유 +1</t>
  </si>
  <si>
    <t>최대 5개</t>
  </si>
  <si>
    <t>총열 파츠</t>
  </si>
  <si>
    <t>현재 무기 데미지 +10%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</si>
  <si>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판 한정</t>
    </r>
  </si>
  <si>
    <t>총구 파츠</t>
  </si>
  <si>
    <t>현재 무기 관통률 +10%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</si>
  <si>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판 한정</t>
    </r>
  </si>
  <si>
    <t>경량 파츠</t>
  </si>
  <si>
    <t>현재 무기 재장전 속도 +10%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</si>
  <si>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판 한정</t>
    </r>
  </si>
  <si>
    <t>체력 강화</t>
  </si>
  <si>
    <r>
      <rPr>
        <rFont val="Noto Sans CJK SC"/>
        <color theme="1"/>
        <sz val="10.0"/>
      </rPr>
      <t xml:space="preserve">최대 체력 </t>
    </r>
    <r>
      <rPr>
        <rFont val="Arial"/>
        <color theme="1"/>
        <sz val="10.0"/>
      </rPr>
      <t>+20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</si>
  <si>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판 한정</t>
    </r>
  </si>
  <si>
    <t>이동속도 강화</t>
  </si>
  <si>
    <r>
      <rPr>
        <rFont val="Noto Sans CJK SC"/>
        <color theme="1"/>
        <sz val="10.0"/>
      </rPr>
      <t xml:space="preserve">이동속도 </t>
    </r>
    <r>
      <rPr>
        <rFont val="Arial"/>
        <color theme="1"/>
        <sz val="10.0"/>
      </rPr>
      <t>+15%</t>
    </r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</si>
  <si>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판 한정</t>
    </r>
  </si>
  <si>
    <r>
      <rPr>
        <rFont val="Noto Sans CJK SC"/>
        <b/>
        <color rgb="FF1F4E79"/>
        <sz val="11.0"/>
      </rPr>
      <t xml:space="preserve">무료 강화 선택지 </t>
    </r>
    <r>
      <rPr>
        <rFont val="Arial"/>
        <b/>
        <color rgb="FF1F4E79"/>
        <sz val="11.0"/>
      </rPr>
      <t>(</t>
    </r>
    <r>
      <rPr>
        <rFont val="Noto Sans CJK SC"/>
        <b/>
        <color rgb="FF1F4E79"/>
        <sz val="11.0"/>
      </rPr>
      <t>업그레이드 타임 좌측</t>
    </r>
    <r>
      <rPr>
        <rFont val="Arial"/>
        <b/>
        <color rgb="FF1F4E79"/>
        <sz val="11.0"/>
      </rPr>
      <t xml:space="preserve">, </t>
    </r>
    <r>
      <rPr>
        <rFont val="Noto Sans CJK SC"/>
        <b/>
        <color rgb="FF1F4E79"/>
        <sz val="11.0"/>
      </rPr>
      <t xml:space="preserve">랜덤 </t>
    </r>
    <r>
      <rPr>
        <rFont val="Arial"/>
        <b/>
        <color rgb="FF1F4E79"/>
        <sz val="11.0"/>
      </rPr>
      <t>2</t>
    </r>
    <r>
      <rPr>
        <rFont val="Noto Sans CJK SC"/>
        <b/>
        <color rgb="FF1F4E79"/>
        <sz val="11.0"/>
      </rPr>
      <t xml:space="preserve">개 중 </t>
    </r>
    <r>
      <rPr>
        <rFont val="Arial"/>
        <b/>
        <color rgb="FF1F4E79"/>
        <sz val="11.0"/>
      </rPr>
      <t>1</t>
    </r>
    <r>
      <rPr>
        <rFont val="Noto Sans CJK SC"/>
        <b/>
        <color rgb="FF1F4E79"/>
        <sz val="11.0"/>
      </rPr>
      <t>개</t>
    </r>
    <r>
      <rPr>
        <rFont val="Arial"/>
        <b/>
        <color rgb="FF1F4E79"/>
        <sz val="11.0"/>
      </rPr>
      <t>)</t>
    </r>
  </si>
  <si>
    <t>선택지</t>
  </si>
  <si>
    <t>재장전 속도</t>
  </si>
  <si>
    <r>
      <rPr>
        <rFont val="Noto Sans CJK SC"/>
        <color theme="1"/>
        <sz val="10.0"/>
      </rPr>
      <t xml:space="preserve">재장전 </t>
    </r>
    <r>
      <rPr>
        <rFont val="Arial"/>
        <color theme="1"/>
        <sz val="10.0"/>
      </rPr>
      <t>-20%</t>
    </r>
  </si>
  <si>
    <t>구르기 쿨다운</t>
  </si>
  <si>
    <t>-20%</t>
  </si>
  <si>
    <t>집중 사격 지속</t>
  </si>
  <si>
    <r>
      <rPr>
        <rFont val="Arial"/>
        <color theme="1"/>
        <sz val="10.0"/>
      </rPr>
      <t>+2</t>
    </r>
    <r>
      <rPr>
        <rFont val="Noto Sans CJK SC"/>
        <color theme="1"/>
        <sz val="10.0"/>
      </rPr>
      <t>초</t>
    </r>
  </si>
  <si>
    <t>수류탄 충전 속도</t>
  </si>
  <si>
    <t>+30%</t>
  </si>
  <si>
    <t>+15%</t>
  </si>
  <si>
    <t>+10%</t>
  </si>
  <si>
    <t>방어력</t>
  </si>
  <si>
    <r>
      <rPr>
        <rFont val="Noto Sans CJK SC"/>
        <color theme="1"/>
        <sz val="10.0"/>
      </rPr>
      <t xml:space="preserve">받는 피해 </t>
    </r>
    <r>
      <rPr>
        <rFont val="Arial"/>
        <color theme="1"/>
        <sz val="10.0"/>
      </rPr>
      <t>-10%</t>
    </r>
  </si>
  <si>
    <t>설계 메모</t>
  </si>
  <si>
    <r>
      <rPr>
        <rFont val="Noto Sans CJK SC"/>
        <i/>
        <color rgb="FF808080"/>
        <sz val="9.0"/>
      </rPr>
      <t>상점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골드</t>
    </r>
    <r>
      <rPr>
        <rFont val="Arial"/>
        <i/>
        <color rgb="FF808080"/>
        <sz val="9.0"/>
      </rPr>
      <t xml:space="preserve">) = </t>
    </r>
    <r>
      <rPr>
        <rFont val="Noto Sans CJK SC"/>
        <i/>
        <color rgb="FF808080"/>
        <sz val="9.0"/>
      </rPr>
      <t>무기 파츠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총열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총구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경량</t>
    </r>
    <r>
      <rPr>
        <rFont val="Arial"/>
        <i/>
        <color rgb="FF808080"/>
        <sz val="9.0"/>
      </rPr>
      <t xml:space="preserve">) + </t>
    </r>
    <r>
      <rPr>
        <rFont val="Noto Sans CJK SC"/>
        <i/>
        <color rgb="FF808080"/>
        <sz val="9.0"/>
      </rPr>
      <t>능력치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체력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이동속도</t>
    </r>
    <r>
      <rPr>
        <rFont val="Arial"/>
        <i/>
        <color rgb="FF808080"/>
        <sz val="9.0"/>
      </rPr>
      <t xml:space="preserve">) + </t>
    </r>
    <r>
      <rPr>
        <rFont val="Noto Sans CJK SC"/>
        <i/>
        <color rgb="FF808080"/>
        <sz val="9.0"/>
      </rPr>
      <t>힐</t>
    </r>
  </si>
  <si>
    <r>
      <rPr>
        <rFont val="Noto Sans CJK SC"/>
        <i/>
        <color rgb="FF808080"/>
        <sz val="9.0"/>
      </rPr>
      <t xml:space="preserve">무료 강화 </t>
    </r>
    <r>
      <rPr>
        <rFont val="Arial"/>
        <i/>
        <color rgb="FF808080"/>
        <sz val="9.0"/>
      </rPr>
      <t xml:space="preserve">= </t>
    </r>
    <r>
      <rPr>
        <rFont val="Noto Sans CJK SC"/>
        <i/>
        <color rgb="FF808080"/>
        <sz val="9.0"/>
      </rPr>
      <t>스킬</t>
    </r>
    <r>
      <rPr>
        <rFont val="Arial"/>
        <i/>
        <color rgb="FF808080"/>
        <sz val="9.0"/>
      </rPr>
      <t>·</t>
    </r>
    <r>
      <rPr>
        <rFont val="Noto Sans CJK SC"/>
        <i/>
        <color rgb="FF808080"/>
        <sz val="9.0"/>
      </rPr>
      <t xml:space="preserve">능력치 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재장전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쿨다운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충전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체력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이동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방어</t>
    </r>
    <r>
      <rPr>
        <rFont val="Arial"/>
        <i/>
        <color rgb="FF808080"/>
        <sz val="9.0"/>
      </rPr>
      <t>)</t>
    </r>
  </si>
  <si>
    <r>
      <rPr>
        <rFont val="Noto Sans CJK SC"/>
        <i/>
        <color rgb="FF808080"/>
        <sz val="9.0"/>
      </rPr>
      <t>체력</t>
    </r>
    <r>
      <rPr>
        <rFont val="Arial"/>
        <i/>
        <color rgb="FF808080"/>
        <sz val="9.0"/>
      </rPr>
      <t>·</t>
    </r>
    <r>
      <rPr>
        <rFont val="Noto Sans CJK SC"/>
        <i/>
        <color rgb="FF808080"/>
        <sz val="9.0"/>
      </rPr>
      <t xml:space="preserve">이동속도는 상점과 무료 양쪽에 존재 → 합연산 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의도된 설계</t>
    </r>
    <r>
      <rPr>
        <rFont val="Arial"/>
        <i/>
        <color rgb="FF808080"/>
        <sz val="9.0"/>
      </rPr>
      <t>)</t>
    </r>
  </si>
  <si>
    <r>
      <rPr>
        <rFont val="Noto Sans CJK SC"/>
        <i/>
        <color rgb="FF808080"/>
        <sz val="9.0"/>
      </rPr>
      <t>주의</t>
    </r>
    <r>
      <rPr>
        <rFont val="Arial"/>
        <i/>
        <color rgb="FF808080"/>
        <sz val="9.0"/>
      </rPr>
      <t xml:space="preserve">: </t>
    </r>
    <r>
      <rPr>
        <rFont val="Noto Sans CJK SC"/>
        <i/>
        <color rgb="FF808080"/>
        <sz val="9.0"/>
      </rPr>
      <t>양쪽 모두 받으면 강해지므로 플레이테스트에서 과강화 시 합산 상한 검토</t>
    </r>
  </si>
  <si>
    <r>
      <rPr>
        <rFont val="Noto Sans CJK SC"/>
        <i/>
        <color rgb="FF808080"/>
        <sz val="9.0"/>
      </rPr>
      <t>무기 데미지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관통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재장전은 상점 파츠로만 → 무기 성장은 중복 없음</t>
    </r>
  </si>
  <si>
    <t>회복량</t>
  </si>
  <si>
    <t>사용 시간(초)</t>
  </si>
  <si>
    <t>최대 보유</t>
  </si>
  <si>
    <t>드롭률(%)</t>
  </si>
  <si>
    <t>5~8</t>
  </si>
  <si>
    <t>상점 가격(골드)</t>
  </si>
  <si>
    <t>피격 시</t>
  </si>
  <si>
    <t>캔슬 (아이템 소모 안 됨)</t>
  </si>
  <si>
    <t>사용 중</t>
  </si>
  <si>
    <t>이동 가능(속도 감소), 사격 불가</t>
  </si>
  <si>
    <t>스테이지 1 웨이브 구성 (방패형 제외)</t>
  </si>
  <si>
    <t>게이지 합 = 웨이브 내 적 처치로 얻는 수류탄 게이지 총합 (일반+8 / 엘리트+15 / 저격+12). 100 이상이면 수류탄 1회 보장.</t>
  </si>
  <si>
    <t>일반</t>
  </si>
  <si>
    <t>저격</t>
  </si>
  <si>
    <t>등장 패턴</t>
  </si>
  <si>
    <t>게이지 합</t>
  </si>
  <si>
    <t>난이도</t>
  </si>
  <si>
    <t>1</t>
  </si>
  <si>
    <t>몰아치기</t>
  </si>
  <si>
    <t>★</t>
  </si>
  <si>
    <t>2</t>
  </si>
  <si>
    <t>분산 포위</t>
  </si>
  <si>
    <t>★★</t>
  </si>
  <si>
    <t>3</t>
  </si>
  <si>
    <t>─ 업그레이드 타임 ① (45초) ─</t>
  </si>
  <si>
    <t>4</t>
  </si>
  <si>
    <t>★★★</t>
  </si>
  <si>
    <t>5</t>
  </si>
  <si>
    <t>★★★★</t>
  </si>
  <si>
    <t>6</t>
  </si>
  <si>
    <t>─ 업그레이드 타임 ② (45초) ─</t>
  </si>
  <si>
    <t>보스</t>
  </si>
  <si>
    <t>브라보</t>
  </si>
  <si>
    <t>★★★★★</t>
  </si>
  <si>
    <t>설계 의도</t>
  </si>
  <si>
    <r>
      <rPr>
        <rFont val="Arial"/>
        <i/>
        <color rgb="FF808080"/>
        <sz val="9.0"/>
      </rPr>
      <t xml:space="preserve">1) </t>
    </r>
    <r>
      <rPr>
        <rFont val="Noto Sans CJK SC"/>
        <i/>
        <color rgb="FF808080"/>
        <sz val="9.0"/>
      </rPr>
      <t xml:space="preserve">모든 웨이브 게이지 합 ≥ </t>
    </r>
    <r>
      <rPr>
        <rFont val="Arial"/>
        <i/>
        <color rgb="FF808080"/>
        <sz val="9.0"/>
      </rPr>
      <t xml:space="preserve">100 → </t>
    </r>
    <r>
      <rPr>
        <rFont val="Noto Sans CJK SC"/>
        <i/>
        <color rgb="FF808080"/>
        <sz val="9.0"/>
      </rPr>
      <t xml:space="preserve">적 처치만으로 수류탄 </t>
    </r>
    <r>
      <rPr>
        <rFont val="Arial"/>
        <i/>
        <color rgb="FF808080"/>
        <sz val="9.0"/>
      </rPr>
      <t>1</t>
    </r>
    <r>
      <rPr>
        <rFont val="Noto Sans CJK SC"/>
        <i/>
        <color rgb="FF808080"/>
        <sz val="9.0"/>
      </rPr>
      <t xml:space="preserve">회 보장 </t>
    </r>
    <r>
      <rPr>
        <rFont val="Arial"/>
        <i/>
        <color rgb="FF808080"/>
        <sz val="9.0"/>
      </rPr>
      <t xml:space="preserve">(+ </t>
    </r>
    <r>
      <rPr>
        <rFont val="Noto Sans CJK SC"/>
        <i/>
        <color rgb="FF808080"/>
        <sz val="9.0"/>
      </rPr>
      <t>데미지 충전은 보너스</t>
    </r>
    <r>
      <rPr>
        <rFont val="Arial"/>
        <i/>
        <color rgb="FF808080"/>
        <sz val="9.0"/>
      </rPr>
      <t>)</t>
    </r>
  </si>
  <si>
    <r>
      <rPr>
        <rFont val="Arial"/>
        <i/>
        <color rgb="FF808080"/>
        <sz val="9.0"/>
      </rPr>
      <t xml:space="preserve">2) </t>
    </r>
    <r>
      <rPr>
        <rFont val="Noto Sans CJK SC"/>
        <i/>
        <color rgb="FF808080"/>
        <sz val="9.0"/>
      </rPr>
      <t xml:space="preserve">후반 웨이브일수록 게이지 합 증가 </t>
    </r>
    <r>
      <rPr>
        <rFont val="Arial"/>
        <i/>
        <color rgb="FF808080"/>
        <sz val="9.0"/>
      </rPr>
      <t xml:space="preserve">(104 → 137) → </t>
    </r>
    <r>
      <rPr>
        <rFont val="Noto Sans CJK SC"/>
        <i/>
        <color rgb="FF808080"/>
        <sz val="9.0"/>
      </rPr>
      <t>적 밀집 시 수류탄 더 자주 사용</t>
    </r>
  </si>
  <si>
    <r>
      <rPr>
        <rFont val="Arial"/>
        <i/>
        <color rgb="FF808080"/>
        <sz val="9.0"/>
      </rPr>
      <t xml:space="preserve">3) </t>
    </r>
    <r>
      <rPr>
        <rFont val="Noto Sans CJK SC"/>
        <i/>
        <color rgb="FF808080"/>
        <sz val="9.0"/>
      </rPr>
      <t xml:space="preserve">웨이브 </t>
    </r>
    <r>
      <rPr>
        <rFont val="Arial"/>
        <i/>
        <color rgb="FF808080"/>
        <sz val="9.0"/>
      </rPr>
      <t>1~3</t>
    </r>
    <r>
      <rPr>
        <rFont val="Noto Sans CJK SC"/>
        <i/>
        <color rgb="FF808080"/>
        <sz val="9.0"/>
      </rPr>
      <t>은 일반 위주</t>
    </r>
    <r>
      <rPr>
        <rFont val="Arial"/>
        <i/>
        <color rgb="FF808080"/>
        <sz val="9.0"/>
      </rPr>
      <t>(</t>
    </r>
    <r>
      <rPr>
        <rFont val="Noto Sans CJK SC"/>
        <i/>
        <color rgb="FF808080"/>
        <sz val="9.0"/>
      </rPr>
      <t>입문</t>
    </r>
    <r>
      <rPr>
        <rFont val="Arial"/>
        <i/>
        <color rgb="FF808080"/>
        <sz val="9.0"/>
      </rPr>
      <t xml:space="preserve">), </t>
    </r>
    <r>
      <rPr>
        <rFont val="Noto Sans CJK SC"/>
        <i/>
        <color rgb="FF808080"/>
        <sz val="9.0"/>
      </rPr>
      <t>업그레이드 ① 이후 엘리트</t>
    </r>
    <r>
      <rPr>
        <rFont val="Arial"/>
        <i/>
        <color rgb="FF808080"/>
        <sz val="9.0"/>
      </rPr>
      <t>/</t>
    </r>
    <r>
      <rPr>
        <rFont val="Noto Sans CJK SC"/>
        <i/>
        <color rgb="FF808080"/>
        <sz val="9.0"/>
      </rPr>
      <t>저격 비중 증가</t>
    </r>
  </si>
  <si>
    <r>
      <rPr>
        <rFont val="Arial"/>
        <i/>
        <color rgb="FF808080"/>
        <sz val="9.0"/>
      </rPr>
      <t xml:space="preserve">4) </t>
    </r>
    <r>
      <rPr>
        <rFont val="Noto Sans CJK SC"/>
        <i/>
        <color rgb="FF808080"/>
        <sz val="9.0"/>
      </rPr>
      <t>저격형은 소수</t>
    </r>
    <r>
      <rPr>
        <rFont val="Arial"/>
        <i/>
        <color rgb="FF808080"/>
        <sz val="9.0"/>
      </rPr>
      <t>(2~3)</t>
    </r>
    <r>
      <rPr>
        <rFont val="Noto Sans CJK SC"/>
        <i/>
        <color rgb="FF808080"/>
        <sz val="9.0"/>
      </rPr>
      <t>로 유지 → 너무 많으면 사방 저격으로 스트레스</t>
    </r>
  </si>
  <si>
    <r>
      <rPr>
        <rFont val="Arial"/>
        <i/>
        <color rgb="FF808080"/>
        <sz val="9.0"/>
      </rPr>
      <t xml:space="preserve">5) </t>
    </r>
    <r>
      <rPr>
        <rFont val="Noto Sans CJK SC"/>
        <i/>
        <color rgb="FF808080"/>
        <sz val="9.0"/>
      </rPr>
      <t xml:space="preserve">방패형은 </t>
    </r>
    <r>
      <rPr>
        <rFont val="Arial"/>
        <i/>
        <color rgb="FF808080"/>
        <sz val="9.0"/>
      </rPr>
      <t>1</t>
    </r>
    <r>
      <rPr>
        <rFont val="Noto Sans CJK SC"/>
        <i/>
        <color rgb="FF808080"/>
        <sz val="9.0"/>
      </rPr>
      <t xml:space="preserve">차 업데이트로 추가 예정 </t>
    </r>
    <r>
      <rPr>
        <rFont val="Arial"/>
        <i/>
        <color rgb="FF808080"/>
        <sz val="9.0"/>
      </rPr>
      <t xml:space="preserve">(MVP </t>
    </r>
    <r>
      <rPr>
        <rFont val="Noto Sans CJK SC"/>
        <i/>
        <color rgb="FF808080"/>
        <sz val="9.0"/>
      </rPr>
      <t>제외</t>
    </r>
    <r>
      <rPr>
        <rFont val="Arial"/>
        <i/>
        <color rgb="FF808080"/>
        <sz val="9.0"/>
      </rPr>
      <t>)</t>
    </r>
  </si>
  <si>
    <t>공식 / 값</t>
  </si>
  <si>
    <t>적 체력</t>
  </si>
  <si>
    <t>기본 × (1 + 0.1 × 웨이브)</t>
  </si>
  <si>
    <t>적 공격력</t>
  </si>
  <si>
    <t>기본 × (1 + 0.05 × 웨이브)</t>
  </si>
  <si>
    <t>보스 등장</t>
  </si>
  <si>
    <r>
      <rPr>
        <rFont val="Arial"/>
        <color theme="1"/>
        <sz val="10.0"/>
      </rPr>
      <t>10</t>
    </r>
    <r>
      <rPr>
        <rFont val="Noto Sans CJK SC"/>
        <color theme="1"/>
        <sz val="10.0"/>
      </rPr>
      <t xml:space="preserve">웨이브마다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 xml:space="preserve">체력 </t>
    </r>
    <r>
      <rPr>
        <rFont val="Arial"/>
        <color theme="1"/>
        <sz val="10.0"/>
      </rPr>
      <t>×1.5</t>
    </r>
    <r>
      <rPr>
        <rFont val="Noto Sans CJK SC"/>
        <color theme="1"/>
        <sz val="10.0"/>
      </rPr>
      <t>씩 증가</t>
    </r>
    <r>
      <rPr>
        <rFont val="Arial"/>
        <color theme="1"/>
        <sz val="10.0"/>
      </rPr>
      <t>)</t>
    </r>
  </si>
  <si>
    <t>업그레이드 타임</t>
  </si>
  <si>
    <r>
      <rPr>
        <rFont val="Arial"/>
        <color theme="1"/>
        <sz val="10.0"/>
      </rPr>
      <t>3</t>
    </r>
    <r>
      <rPr>
        <rFont val="Noto Sans CJK SC"/>
        <color theme="1"/>
        <sz val="10.0"/>
      </rPr>
      <t>웨이브 간격</t>
    </r>
  </si>
  <si>
    <t>강화 제한</t>
  </si>
  <si>
    <t>각 업그레이드 최대 10회</t>
  </si>
  <si>
    <t>무기 획득</t>
  </si>
  <si>
    <t>드롭 (MVP는 종류 교체만)</t>
  </si>
  <si>
    <t>게임오버</t>
  </si>
  <si>
    <t>사망 즉시 종료 + 도달 웨이브 기록</t>
  </si>
  <si>
    <t>웨이브별 일반 보병 체력 예시 (체력 공식 검증)</t>
  </si>
  <si>
    <t>체력 계산</t>
  </si>
  <si>
    <t>결과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</si>
</sst>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1F4E79"/>
      <name val="Arial"/>
    </font>
    <font>
      <sz val="11.0"/>
      <color theme="1"/>
      <name val="Calibri"/>
    </font>
    <font>
      <i/>
      <sz val="9.0"/>
      <color rgb="FF808080"/>
      <name val="Noto Sans"/>
    </font>
    <font>
      <b/>
      <sz val="11.0"/>
      <color rgb="FF1F4E79"/>
      <name val="Noto Sans"/>
    </font>
    <font>
      <sz val="10.0"/>
      <color rgb="FF0000FF"/>
      <name val="Noto Sans"/>
    </font>
    <font>
      <sz val="10.0"/>
      <color theme="1"/>
      <name val="Noto Sans"/>
    </font>
    <font>
      <b/>
      <sz val="14.0"/>
      <color rgb="FF1F4E79"/>
      <name val="Noto Sans"/>
    </font>
    <font>
      <b/>
      <sz val="11.0"/>
      <color rgb="FFFFFFFF"/>
      <name val="Noto Sans"/>
    </font>
    <font>
      <sz val="10.0"/>
      <color rgb="FF0000FF"/>
      <name val="Arial"/>
    </font>
    <font>
      <sz val="10.0"/>
      <color theme="1"/>
      <name val="Arial"/>
    </font>
    <font>
      <b/>
      <sz val="11.0"/>
      <color rgb="FFFFFFFF"/>
      <name val="Arial"/>
    </font>
    <font>
      <color theme="1"/>
      <name val="Calibri"/>
      <scheme val="minor"/>
    </font>
    <font>
      <b/>
      <sz val="10.0"/>
      <color rgb="FFFFFFFF"/>
      <name val="Noto Sans"/>
    </font>
    <font>
      <b/>
      <sz val="10.0"/>
      <color rgb="FF1F4E79"/>
      <name val="Noto Sans"/>
    </font>
    <font/>
    <font>
      <i/>
      <sz val="9.0"/>
      <color rgb="FF808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readingOrder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center" shrinkToFit="0" vertical="center" wrapText="0"/>
    </xf>
    <xf borderId="2" fillId="0" fontId="14" numFmtId="0" xfId="0" applyAlignment="1" applyBorder="1" applyFont="1">
      <alignment horizontal="center" shrinkToFit="0" vertical="center" wrapText="0"/>
    </xf>
    <xf borderId="3" fillId="0" fontId="15" numFmtId="0" xfId="0" applyBorder="1" applyFont="1"/>
    <xf borderId="4" fillId="0" fontId="15" numFmtId="0" xfId="0" applyBorder="1" applyFont="1"/>
    <xf borderId="2" fillId="0" fontId="6" numFmtId="0" xfId="0" applyAlignment="1" applyBorder="1" applyFont="1">
      <alignment horizontal="left" shrinkToFit="0" vertical="center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26" width="8.71"/>
  </cols>
  <sheetData>
    <row r="1" ht="21.0" customHeight="1">
      <c r="A1" s="1" t="s">
        <v>0</v>
      </c>
      <c r="B1" s="2"/>
    </row>
    <row r="2">
      <c r="A2" s="2"/>
      <c r="B2" s="2"/>
    </row>
    <row r="3" ht="15.0" customHeight="1">
      <c r="A3" s="3" t="s">
        <v>1</v>
      </c>
      <c r="B3" s="2"/>
    </row>
    <row r="4">
      <c r="A4" s="2"/>
      <c r="B4" s="2"/>
    </row>
    <row r="5" ht="15.0" customHeight="1">
      <c r="A5" s="4" t="s">
        <v>2</v>
      </c>
      <c r="B5" s="2"/>
    </row>
    <row r="6" ht="15.0" customHeight="1">
      <c r="A6" s="5" t="s">
        <v>3</v>
      </c>
      <c r="B6" s="6" t="s">
        <v>4</v>
      </c>
    </row>
    <row r="7" ht="15.0" customHeight="1">
      <c r="A7" s="6" t="s">
        <v>5</v>
      </c>
      <c r="B7" s="6" t="s">
        <v>6</v>
      </c>
    </row>
    <row r="8">
      <c r="A8" s="2"/>
      <c r="B8" s="2"/>
    </row>
    <row r="9" ht="15.0" customHeight="1">
      <c r="A9" s="4" t="s">
        <v>7</v>
      </c>
      <c r="B9" s="2"/>
    </row>
    <row r="10" ht="15.0" customHeight="1">
      <c r="A10" s="6" t="s">
        <v>8</v>
      </c>
      <c r="B10" s="6" t="s">
        <v>9</v>
      </c>
    </row>
    <row r="11" ht="15.0" customHeight="1">
      <c r="A11" s="6" t="s">
        <v>10</v>
      </c>
      <c r="B11" s="6" t="s">
        <v>11</v>
      </c>
    </row>
    <row r="12" ht="15.0" customHeight="1">
      <c r="A12" s="6" t="s">
        <v>12</v>
      </c>
      <c r="B12" s="6" t="s">
        <v>13</v>
      </c>
    </row>
    <row r="13" ht="15.0" customHeight="1">
      <c r="A13" s="6" t="s">
        <v>14</v>
      </c>
      <c r="B13" s="6" t="s">
        <v>15</v>
      </c>
    </row>
    <row r="14" ht="15.0" customHeight="1">
      <c r="A14" s="6" t="s">
        <v>16</v>
      </c>
      <c r="B14" s="6" t="s">
        <v>17</v>
      </c>
    </row>
    <row r="15" ht="15.0" customHeight="1">
      <c r="A15" s="6" t="s">
        <v>18</v>
      </c>
      <c r="B15" s="6" t="s">
        <v>19</v>
      </c>
    </row>
    <row r="16" ht="15.0" customHeight="1">
      <c r="A16" s="6" t="s">
        <v>20</v>
      </c>
      <c r="B16" s="6" t="s">
        <v>21</v>
      </c>
    </row>
    <row r="17" ht="15.0" customHeight="1">
      <c r="A17" s="6" t="s">
        <v>22</v>
      </c>
      <c r="B17" s="6" t="s">
        <v>23</v>
      </c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28.0"/>
    <col customWidth="1" min="4" max="26" width="8.71"/>
  </cols>
  <sheetData>
    <row r="1" ht="17.25" customHeight="1">
      <c r="A1" s="7" t="s">
        <v>9</v>
      </c>
      <c r="B1" s="2"/>
      <c r="C1" s="2"/>
    </row>
    <row r="2">
      <c r="A2" s="2"/>
      <c r="B2" s="2"/>
      <c r="C2" s="2"/>
    </row>
    <row r="3" ht="15.0" customHeight="1">
      <c r="A3" s="8" t="s">
        <v>24</v>
      </c>
      <c r="B3" s="8" t="s">
        <v>25</v>
      </c>
      <c r="C3" s="8" t="s">
        <v>26</v>
      </c>
    </row>
    <row r="4" ht="15.0" customHeight="1">
      <c r="A4" s="9" t="s">
        <v>27</v>
      </c>
      <c r="B4" s="10">
        <v>100.0</v>
      </c>
      <c r="C4" s="11" t="s">
        <v>28</v>
      </c>
    </row>
    <row r="5" ht="15.0" customHeight="1">
      <c r="A5" s="9" t="s">
        <v>29</v>
      </c>
      <c r="B5" s="10">
        <v>5.0</v>
      </c>
      <c r="C5" s="12" t="s">
        <v>30</v>
      </c>
    </row>
    <row r="6" ht="15.0" customHeight="1">
      <c r="A6" s="9" t="s">
        <v>31</v>
      </c>
      <c r="B6" s="10">
        <v>7.5</v>
      </c>
      <c r="C6" s="11" t="s">
        <v>32</v>
      </c>
    </row>
    <row r="7" ht="15.0" customHeight="1">
      <c r="A7" s="9" t="s">
        <v>33</v>
      </c>
      <c r="B7" s="10">
        <v>1.0</v>
      </c>
      <c r="C7" s="11" t="s">
        <v>34</v>
      </c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0"/>
    <col customWidth="1" min="3" max="3" width="12.0"/>
    <col customWidth="1" min="4" max="6" width="11.0"/>
    <col customWidth="1" min="7" max="8" width="12.0"/>
    <col customWidth="1" min="9" max="9" width="8.0"/>
    <col customWidth="1" min="10" max="26" width="8.71"/>
  </cols>
  <sheetData>
    <row r="1" ht="21.0" customHeight="1">
      <c r="A1" s="7" t="s">
        <v>35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 ht="16.5" customHeight="1">
      <c r="A3" s="8" t="s">
        <v>10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13" t="s">
        <v>43</v>
      </c>
    </row>
    <row r="4" ht="15.0" customHeight="1">
      <c r="A4" s="9" t="s">
        <v>44</v>
      </c>
      <c r="B4" s="10">
        <v>10.0</v>
      </c>
      <c r="C4" s="10">
        <v>5.0</v>
      </c>
      <c r="D4" s="10">
        <v>25.0</v>
      </c>
      <c r="E4" s="10">
        <v>30.0</v>
      </c>
      <c r="F4" s="10">
        <v>2.0</v>
      </c>
      <c r="G4" s="10">
        <v>15.0</v>
      </c>
      <c r="H4" s="10">
        <v>50.0</v>
      </c>
      <c r="I4" s="12">
        <f t="shared" ref="I4:I6" si="1">B4*C4</f>
        <v>50</v>
      </c>
    </row>
    <row r="5" ht="15.0" customHeight="1">
      <c r="A5" s="9" t="s">
        <v>45</v>
      </c>
      <c r="B5" s="10">
        <v>7.0</v>
      </c>
      <c r="C5" s="10">
        <v>8.0</v>
      </c>
      <c r="D5" s="10">
        <v>22.0</v>
      </c>
      <c r="E5" s="10">
        <v>35.0</v>
      </c>
      <c r="F5" s="10">
        <v>2.2</v>
      </c>
      <c r="G5" s="10">
        <v>10.0</v>
      </c>
      <c r="H5" s="10">
        <v>30.0</v>
      </c>
      <c r="I5" s="12">
        <f t="shared" si="1"/>
        <v>56</v>
      </c>
    </row>
    <row r="6" ht="15.0" customHeight="1">
      <c r="A6" s="9" t="s">
        <v>46</v>
      </c>
      <c r="B6" s="10">
        <v>30.0</v>
      </c>
      <c r="C6" s="10">
        <v>1.0</v>
      </c>
      <c r="D6" s="10">
        <v>50.0</v>
      </c>
      <c r="E6" s="10">
        <v>5.0</v>
      </c>
      <c r="F6" s="10">
        <v>2.5</v>
      </c>
      <c r="G6" s="10">
        <v>40.0</v>
      </c>
      <c r="H6" s="10">
        <v>100.0</v>
      </c>
      <c r="I6" s="12">
        <f t="shared" si="1"/>
        <v>30</v>
      </c>
    </row>
    <row r="7">
      <c r="A7" s="2"/>
      <c r="B7" s="2"/>
      <c r="C7" s="2"/>
      <c r="D7" s="2"/>
      <c r="E7" s="2"/>
      <c r="F7" s="2"/>
      <c r="G7" s="2"/>
      <c r="H7" s="2"/>
      <c r="I7" s="2"/>
    </row>
    <row r="8" ht="16.5" customHeight="1">
      <c r="A8" s="4" t="s">
        <v>47</v>
      </c>
      <c r="B8" s="2"/>
      <c r="C8" s="2"/>
      <c r="D8" s="2"/>
      <c r="E8" s="2"/>
      <c r="F8" s="2"/>
      <c r="G8" s="2"/>
      <c r="H8" s="2"/>
      <c r="I8" s="2"/>
    </row>
    <row r="9" ht="16.5" customHeight="1">
      <c r="A9" s="8" t="s">
        <v>48</v>
      </c>
      <c r="B9" s="8" t="s">
        <v>36</v>
      </c>
      <c r="C9" s="8" t="s">
        <v>37</v>
      </c>
      <c r="D9" s="8" t="s">
        <v>39</v>
      </c>
      <c r="E9" s="8" t="s">
        <v>40</v>
      </c>
      <c r="F9" s="8" t="s">
        <v>41</v>
      </c>
      <c r="G9" s="13" t="s">
        <v>43</v>
      </c>
      <c r="H9" s="2"/>
      <c r="I9" s="2"/>
    </row>
    <row r="10" ht="15.0" customHeight="1">
      <c r="A10" s="9" t="s">
        <v>49</v>
      </c>
      <c r="B10" s="10">
        <v>15.0</v>
      </c>
      <c r="C10" s="10">
        <v>1.5</v>
      </c>
      <c r="D10" s="10">
        <v>6.0</v>
      </c>
      <c r="E10" s="10">
        <v>2.0</v>
      </c>
      <c r="F10" s="10">
        <v>30.0</v>
      </c>
      <c r="G10" s="12">
        <f t="shared" ref="G10:G11" si="2">B10*C10</f>
        <v>22.5</v>
      </c>
      <c r="H10" s="2"/>
      <c r="I10" s="2"/>
    </row>
    <row r="11" ht="15.0" customHeight="1">
      <c r="A11" s="9" t="s">
        <v>50</v>
      </c>
      <c r="B11" s="10">
        <v>6.0</v>
      </c>
      <c r="C11" s="10">
        <v>5.0</v>
      </c>
      <c r="D11" s="10">
        <v>17.0</v>
      </c>
      <c r="E11" s="10">
        <v>1.5</v>
      </c>
      <c r="F11" s="10">
        <v>15.0</v>
      </c>
      <c r="G11" s="12">
        <f t="shared" si="2"/>
        <v>30</v>
      </c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4.0"/>
    <col customWidth="1" min="4" max="4" width="16.0"/>
    <col customWidth="1" min="5" max="6" width="12.0"/>
    <col customWidth="1" min="7" max="7" width="32.0"/>
    <col customWidth="1" min="8" max="26" width="8.71"/>
  </cols>
  <sheetData>
    <row r="1" ht="21.0" customHeight="1">
      <c r="A1" s="7" t="s">
        <v>51</v>
      </c>
      <c r="B1" s="2"/>
      <c r="C1" s="2"/>
      <c r="D1" s="2"/>
      <c r="E1" s="2"/>
      <c r="F1" s="2"/>
      <c r="G1" s="2"/>
    </row>
    <row r="2">
      <c r="A2" s="2"/>
      <c r="B2" s="2"/>
      <c r="C2" s="2"/>
      <c r="D2" s="2"/>
      <c r="F2" s="2"/>
      <c r="G2" s="14" t="s">
        <v>52</v>
      </c>
    </row>
    <row r="3" ht="16.5" customHeight="1">
      <c r="A3" s="8" t="s">
        <v>12</v>
      </c>
      <c r="B3" s="8" t="s">
        <v>53</v>
      </c>
      <c r="C3" s="8" t="s">
        <v>54</v>
      </c>
      <c r="D3" s="8" t="s">
        <v>29</v>
      </c>
      <c r="E3" s="8" t="s">
        <v>55</v>
      </c>
      <c r="F3" s="8" t="s">
        <v>56</v>
      </c>
      <c r="G3" s="8" t="s">
        <v>57</v>
      </c>
    </row>
    <row r="4" ht="15.0" customHeight="1">
      <c r="A4" s="9" t="s">
        <v>58</v>
      </c>
      <c r="B4" s="10">
        <v>30.0</v>
      </c>
      <c r="C4" s="10">
        <v>5.0</v>
      </c>
      <c r="D4" s="10">
        <v>3.0</v>
      </c>
      <c r="E4" s="15">
        <f t="shared" ref="E4:E6" si="1">C4*2</f>
        <v>10</v>
      </c>
      <c r="F4" s="15">
        <v>15.0</v>
      </c>
      <c r="G4" s="11" t="s">
        <v>59</v>
      </c>
    </row>
    <row r="5" ht="15.0" customHeight="1">
      <c r="A5" s="9" t="s">
        <v>60</v>
      </c>
      <c r="B5" s="10">
        <v>75.0</v>
      </c>
      <c r="C5" s="10">
        <v>12.0</v>
      </c>
      <c r="D5" s="10">
        <v>3.5</v>
      </c>
      <c r="E5" s="15">
        <f t="shared" si="1"/>
        <v>24</v>
      </c>
      <c r="F5" s="15">
        <v>29.0</v>
      </c>
      <c r="G5" s="11" t="s">
        <v>61</v>
      </c>
    </row>
    <row r="6" ht="15.0" customHeight="1">
      <c r="A6" s="9" t="s">
        <v>62</v>
      </c>
      <c r="B6" s="10">
        <v>20.0</v>
      </c>
      <c r="C6" s="10">
        <v>10.0</v>
      </c>
      <c r="D6" s="10">
        <v>2.0</v>
      </c>
      <c r="E6" s="15">
        <f t="shared" si="1"/>
        <v>20</v>
      </c>
      <c r="F6" s="15">
        <v>25.0</v>
      </c>
      <c r="G6" s="11" t="s">
        <v>63</v>
      </c>
    </row>
    <row r="7" ht="15.0" customHeight="1">
      <c r="A7" s="2"/>
      <c r="B7" s="2"/>
      <c r="C7" s="2"/>
      <c r="D7" s="2"/>
      <c r="E7" s="2"/>
      <c r="F7" s="2"/>
      <c r="G7" s="2"/>
    </row>
    <row r="8" ht="16.5" customHeight="1">
      <c r="A8" s="4" t="s">
        <v>64</v>
      </c>
      <c r="B8" s="2"/>
      <c r="C8" s="2"/>
      <c r="D8" s="2"/>
      <c r="E8" s="2"/>
      <c r="F8" s="2"/>
      <c r="G8" s="2"/>
    </row>
    <row r="9" ht="16.5" customHeight="1">
      <c r="A9" s="8" t="s">
        <v>24</v>
      </c>
      <c r="B9" s="8" t="s">
        <v>25</v>
      </c>
      <c r="C9" s="8" t="s">
        <v>26</v>
      </c>
      <c r="D9" s="2"/>
      <c r="E9" s="2"/>
      <c r="F9" s="2"/>
      <c r="G9" s="2"/>
    </row>
    <row r="10" ht="15.0" customHeight="1">
      <c r="A10" s="9" t="s">
        <v>65</v>
      </c>
      <c r="B10" s="10">
        <v>1500.0</v>
      </c>
      <c r="C10" s="11" t="s">
        <v>66</v>
      </c>
      <c r="D10" s="2"/>
      <c r="E10" s="2"/>
      <c r="F10" s="2"/>
      <c r="G10" s="2"/>
    </row>
    <row r="11" ht="15.0" customHeight="1">
      <c r="A11" s="16" t="s">
        <v>67</v>
      </c>
      <c r="B11" s="10" t="s">
        <v>68</v>
      </c>
      <c r="C11" s="11" t="s">
        <v>69</v>
      </c>
      <c r="D11" s="2"/>
      <c r="E11" s="2"/>
      <c r="F11" s="2"/>
      <c r="G11" s="2"/>
    </row>
    <row r="12" ht="15.0" customHeight="1">
      <c r="A12" s="16" t="s">
        <v>70</v>
      </c>
      <c r="B12" s="10" t="s">
        <v>71</v>
      </c>
      <c r="C12" s="12"/>
      <c r="D12" s="2"/>
      <c r="E12" s="2"/>
      <c r="F12" s="2"/>
      <c r="G12" s="2"/>
    </row>
    <row r="13" ht="15.0" customHeight="1">
      <c r="A13" s="9" t="s">
        <v>72</v>
      </c>
      <c r="B13" s="17" t="s">
        <v>73</v>
      </c>
      <c r="C13" s="12" t="s">
        <v>74</v>
      </c>
      <c r="D13" s="2"/>
      <c r="E13" s="2"/>
      <c r="F13" s="2"/>
      <c r="G13" s="2"/>
    </row>
    <row r="14" ht="15.0" customHeight="1">
      <c r="A14" s="9" t="s">
        <v>75</v>
      </c>
      <c r="B14" s="17">
        <v>200.0</v>
      </c>
      <c r="C14" s="12"/>
      <c r="D14" s="2"/>
      <c r="E14" s="2"/>
      <c r="F14" s="2"/>
      <c r="G14" s="2"/>
    </row>
    <row r="15" ht="15.0" customHeight="1">
      <c r="A15" s="2"/>
      <c r="B15" s="2"/>
      <c r="C15" s="2"/>
      <c r="D15" s="2"/>
      <c r="E15" s="2"/>
      <c r="F15" s="2"/>
      <c r="G15" s="2"/>
    </row>
    <row r="16" ht="15.0" customHeight="1">
      <c r="A16" s="4" t="s">
        <v>76</v>
      </c>
      <c r="B16" s="2"/>
      <c r="C16" s="2"/>
      <c r="D16" s="2"/>
      <c r="E16" s="2"/>
      <c r="F16" s="2"/>
      <c r="G16" s="2"/>
    </row>
    <row r="17" ht="15.0" customHeight="1">
      <c r="A17" s="8" t="s">
        <v>77</v>
      </c>
      <c r="B17" s="8" t="s">
        <v>78</v>
      </c>
      <c r="C17" s="8" t="s">
        <v>79</v>
      </c>
      <c r="D17" s="8" t="s">
        <v>36</v>
      </c>
      <c r="E17" s="2"/>
      <c r="F17" s="2"/>
      <c r="G17" s="2"/>
    </row>
    <row r="18" ht="16.5" customHeight="1">
      <c r="A18" s="9" t="s">
        <v>80</v>
      </c>
      <c r="B18" s="12">
        <v>1.0</v>
      </c>
      <c r="C18" s="17">
        <v>1.0</v>
      </c>
      <c r="D18" s="10" t="s">
        <v>81</v>
      </c>
      <c r="E18" s="2"/>
      <c r="F18" s="2"/>
      <c r="G18" s="2"/>
    </row>
    <row r="19" ht="15.0" customHeight="1">
      <c r="A19" s="9" t="s">
        <v>82</v>
      </c>
      <c r="B19" s="12">
        <v>1.0</v>
      </c>
      <c r="C19" s="17">
        <v>4.0</v>
      </c>
      <c r="D19" s="10" t="s">
        <v>83</v>
      </c>
      <c r="E19" s="2"/>
      <c r="F19" s="2"/>
      <c r="G19" s="2"/>
    </row>
    <row r="20" ht="15.0" customHeight="1">
      <c r="A20" s="9" t="s">
        <v>84</v>
      </c>
      <c r="B20" s="12">
        <v>1.0</v>
      </c>
      <c r="C20" s="17">
        <v>8.0</v>
      </c>
      <c r="D20" s="10" t="s">
        <v>85</v>
      </c>
      <c r="E20" s="2"/>
      <c r="F20" s="2"/>
      <c r="G20" s="2"/>
    </row>
    <row r="21" ht="15.0" customHeight="1">
      <c r="A21" s="9" t="s">
        <v>86</v>
      </c>
      <c r="B21" s="12">
        <v>2.0</v>
      </c>
      <c r="C21" s="10" t="s">
        <v>87</v>
      </c>
      <c r="D21" s="10" t="s">
        <v>88</v>
      </c>
      <c r="E21" s="2"/>
      <c r="F21" s="2"/>
      <c r="G21" s="2"/>
    </row>
    <row r="22" ht="15.0" customHeight="1">
      <c r="A22" s="9" t="s">
        <v>89</v>
      </c>
      <c r="B22" s="12">
        <v>2.0</v>
      </c>
      <c r="C22" s="17">
        <v>6.0</v>
      </c>
      <c r="D22" s="10" t="s">
        <v>90</v>
      </c>
      <c r="E22" s="2"/>
      <c r="F22" s="2"/>
      <c r="G22" s="2"/>
    </row>
    <row r="23" ht="15.0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10.0"/>
    <col customWidth="1" min="4" max="4" width="16.0"/>
    <col customWidth="1" min="5" max="5" width="36.0"/>
    <col customWidth="1" min="6" max="6" width="14.0"/>
    <col customWidth="1" min="7" max="26" width="8.71"/>
  </cols>
  <sheetData>
    <row r="1" ht="17.25" customHeight="1">
      <c r="A1" s="7" t="s">
        <v>91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 ht="16.5" customHeight="1">
      <c r="A3" s="8" t="s">
        <v>14</v>
      </c>
      <c r="B3" s="8" t="s">
        <v>92</v>
      </c>
      <c r="C3" s="8" t="s">
        <v>93</v>
      </c>
      <c r="D3" s="8" t="s">
        <v>94</v>
      </c>
      <c r="E3" s="8" t="s">
        <v>95</v>
      </c>
      <c r="F3" s="8" t="s">
        <v>96</v>
      </c>
    </row>
    <row r="4" ht="15.0" customHeight="1">
      <c r="A4" s="9" t="s">
        <v>97</v>
      </c>
      <c r="B4" s="12" t="s">
        <v>98</v>
      </c>
      <c r="C4" s="11" t="s">
        <v>99</v>
      </c>
      <c r="D4" s="10" t="s">
        <v>100</v>
      </c>
      <c r="E4" s="11" t="s">
        <v>101</v>
      </c>
      <c r="F4" s="12" t="s">
        <v>102</v>
      </c>
    </row>
    <row r="5" ht="15.0" customHeight="1">
      <c r="A5" s="9" t="s">
        <v>103</v>
      </c>
      <c r="B5" s="12" t="s">
        <v>104</v>
      </c>
      <c r="C5" s="11" t="s">
        <v>99</v>
      </c>
      <c r="D5" s="10" t="s">
        <v>105</v>
      </c>
      <c r="E5" s="11" t="s">
        <v>106</v>
      </c>
      <c r="F5" s="12" t="s">
        <v>107</v>
      </c>
    </row>
    <row r="6" ht="15.0" customHeight="1">
      <c r="A6" s="9" t="s">
        <v>108</v>
      </c>
      <c r="B6" s="12" t="s">
        <v>109</v>
      </c>
      <c r="C6" s="11" t="s">
        <v>110</v>
      </c>
      <c r="D6" s="10" t="s">
        <v>111</v>
      </c>
      <c r="E6" s="11" t="s">
        <v>112</v>
      </c>
      <c r="F6" s="11" t="s">
        <v>113</v>
      </c>
    </row>
    <row r="7">
      <c r="A7" s="2"/>
      <c r="B7" s="2"/>
      <c r="C7" s="2"/>
      <c r="D7" s="2"/>
      <c r="E7" s="2"/>
      <c r="F7" s="2"/>
    </row>
    <row r="8" ht="16.5" customHeight="1">
      <c r="A8" s="4" t="s">
        <v>114</v>
      </c>
      <c r="B8" s="2"/>
      <c r="C8" s="2"/>
      <c r="D8" s="2"/>
      <c r="E8" s="2"/>
      <c r="F8" s="2"/>
    </row>
    <row r="9" ht="15.0" customHeight="1">
      <c r="A9" s="8" t="s">
        <v>115</v>
      </c>
      <c r="B9" s="8" t="s">
        <v>116</v>
      </c>
      <c r="C9" s="2"/>
      <c r="D9" s="2"/>
      <c r="E9" s="2"/>
      <c r="F9" s="2"/>
    </row>
    <row r="10" ht="15.0" customHeight="1">
      <c r="A10" s="9" t="s">
        <v>117</v>
      </c>
      <c r="B10" s="17">
        <v>8.0</v>
      </c>
      <c r="C10" s="2"/>
      <c r="D10" s="2"/>
      <c r="E10" s="2"/>
      <c r="F10" s="2"/>
    </row>
    <row r="11" ht="15.0" customHeight="1">
      <c r="A11" s="9" t="s">
        <v>118</v>
      </c>
      <c r="B11" s="17">
        <v>15.0</v>
      </c>
      <c r="C11" s="2"/>
      <c r="D11" s="2"/>
      <c r="E11" s="2"/>
      <c r="F11" s="2"/>
    </row>
    <row r="12" ht="15.0" customHeight="1">
      <c r="A12" s="9" t="s">
        <v>119</v>
      </c>
      <c r="B12" s="17">
        <v>12.0</v>
      </c>
      <c r="C12" s="2"/>
      <c r="D12" s="2"/>
      <c r="E12" s="2"/>
      <c r="F12" s="2"/>
    </row>
    <row r="13" ht="15.0" customHeight="1">
      <c r="A13" s="9" t="s">
        <v>120</v>
      </c>
      <c r="B13" s="10" t="s">
        <v>121</v>
      </c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28.0"/>
    <col customWidth="1" min="4" max="4" width="14.0"/>
    <col customWidth="1" min="5" max="26" width="8.71"/>
  </cols>
  <sheetData>
    <row r="1" ht="21.0" customHeight="1">
      <c r="A1" s="7" t="s">
        <v>122</v>
      </c>
      <c r="B1" s="2"/>
      <c r="C1" s="2"/>
      <c r="D1" s="2"/>
    </row>
    <row r="2" ht="15.0" customHeight="1">
      <c r="A2" s="3" t="s">
        <v>123</v>
      </c>
      <c r="B2" s="2"/>
      <c r="C2" s="2"/>
      <c r="D2" s="2"/>
    </row>
    <row r="3">
      <c r="A3" s="2"/>
      <c r="B3" s="2"/>
      <c r="C3" s="2"/>
      <c r="D3" s="2"/>
    </row>
    <row r="4" ht="15.0" customHeight="1">
      <c r="A4" s="18" t="s">
        <v>24</v>
      </c>
      <c r="B4" s="18" t="s">
        <v>124</v>
      </c>
      <c r="C4" s="18" t="s">
        <v>95</v>
      </c>
      <c r="D4" s="18" t="s">
        <v>125</v>
      </c>
    </row>
    <row r="5" ht="15.0" customHeight="1">
      <c r="A5" s="11" t="s">
        <v>126</v>
      </c>
      <c r="B5" s="10">
        <v>60.0</v>
      </c>
      <c r="C5" s="9" t="s">
        <v>127</v>
      </c>
      <c r="D5" s="11" t="s">
        <v>128</v>
      </c>
    </row>
    <row r="6" ht="15.0" customHeight="1">
      <c r="A6" s="11" t="s">
        <v>129</v>
      </c>
      <c r="B6" s="10">
        <v>100.0</v>
      </c>
      <c r="C6" s="9" t="s">
        <v>130</v>
      </c>
      <c r="D6" s="12" t="s">
        <v>131</v>
      </c>
    </row>
    <row r="7" ht="15.0" customHeight="1">
      <c r="A7" s="11" t="s">
        <v>132</v>
      </c>
      <c r="B7" s="10">
        <v>90.0</v>
      </c>
      <c r="C7" s="9" t="s">
        <v>133</v>
      </c>
      <c r="D7" s="12" t="s">
        <v>134</v>
      </c>
    </row>
    <row r="8" ht="15.0" customHeight="1">
      <c r="A8" s="11" t="s">
        <v>135</v>
      </c>
      <c r="B8" s="10">
        <v>80.0</v>
      </c>
      <c r="C8" s="9" t="s">
        <v>136</v>
      </c>
      <c r="D8" s="12" t="s">
        <v>137</v>
      </c>
    </row>
    <row r="9">
      <c r="A9" s="11" t="s">
        <v>138</v>
      </c>
      <c r="B9" s="10">
        <v>80.0</v>
      </c>
      <c r="C9" s="9" t="s">
        <v>139</v>
      </c>
      <c r="D9" s="12" t="s">
        <v>140</v>
      </c>
    </row>
    <row r="10" ht="16.5" customHeight="1">
      <c r="A10" s="11" t="s">
        <v>141</v>
      </c>
      <c r="B10" s="10">
        <v>80.0</v>
      </c>
      <c r="C10" s="9" t="s">
        <v>142</v>
      </c>
      <c r="D10" s="12" t="s">
        <v>143</v>
      </c>
    </row>
    <row r="11" ht="15.0" customHeight="1">
      <c r="A11" s="19"/>
      <c r="B11" s="19"/>
      <c r="C11" s="2"/>
      <c r="D11" s="2"/>
    </row>
    <row r="12" ht="15.0" customHeight="1">
      <c r="A12" s="20" t="s">
        <v>144</v>
      </c>
      <c r="B12" s="21"/>
      <c r="C12" s="2"/>
      <c r="D12" s="2"/>
    </row>
    <row r="13" ht="15.0" customHeight="1">
      <c r="A13" s="18" t="s">
        <v>145</v>
      </c>
      <c r="B13" s="18" t="s">
        <v>95</v>
      </c>
      <c r="C13" s="2"/>
      <c r="D13" s="2"/>
    </row>
    <row r="14" ht="15.0" customHeight="1">
      <c r="A14" s="9" t="s">
        <v>146</v>
      </c>
      <c r="B14" s="11" t="s">
        <v>147</v>
      </c>
      <c r="C14" s="2"/>
      <c r="D14" s="2"/>
    </row>
    <row r="15" ht="15.0" customHeight="1">
      <c r="A15" s="9" t="s">
        <v>148</v>
      </c>
      <c r="B15" s="12" t="s">
        <v>149</v>
      </c>
      <c r="C15" s="2"/>
      <c r="D15" s="2"/>
    </row>
    <row r="16" ht="15.0" customHeight="1">
      <c r="A16" s="9" t="s">
        <v>150</v>
      </c>
      <c r="B16" s="12" t="s">
        <v>151</v>
      </c>
      <c r="C16" s="2"/>
      <c r="D16" s="2"/>
    </row>
    <row r="17" ht="15.0" customHeight="1">
      <c r="A17" s="9" t="s">
        <v>152</v>
      </c>
      <c r="B17" s="12" t="s">
        <v>153</v>
      </c>
      <c r="C17" s="2"/>
      <c r="D17" s="2"/>
    </row>
    <row r="18" ht="15.0" customHeight="1">
      <c r="A18" s="9" t="s">
        <v>27</v>
      </c>
      <c r="B18" s="12" t="s">
        <v>154</v>
      </c>
      <c r="C18" s="2"/>
      <c r="D18" s="2"/>
    </row>
    <row r="19">
      <c r="A19" s="9" t="s">
        <v>29</v>
      </c>
      <c r="B19" s="12" t="s">
        <v>155</v>
      </c>
      <c r="C19" s="2"/>
      <c r="D19" s="2"/>
    </row>
    <row r="20" ht="15.0" customHeight="1">
      <c r="A20" s="9" t="s">
        <v>156</v>
      </c>
      <c r="B20" s="11" t="s">
        <v>157</v>
      </c>
      <c r="C20" s="2"/>
      <c r="D20" s="2"/>
    </row>
    <row r="21" ht="13.5" customHeight="1">
      <c r="A21" s="3"/>
      <c r="B21" s="2"/>
      <c r="C21" s="2"/>
      <c r="D21" s="2"/>
    </row>
    <row r="22" ht="13.5" customHeight="1">
      <c r="A22" s="4" t="s">
        <v>158</v>
      </c>
      <c r="B22" s="2"/>
      <c r="C22" s="2"/>
      <c r="D22" s="2"/>
    </row>
    <row r="23" ht="13.5" customHeight="1">
      <c r="A23" s="3" t="s">
        <v>159</v>
      </c>
      <c r="B23" s="2"/>
      <c r="C23" s="2"/>
      <c r="D23" s="2"/>
    </row>
    <row r="24" ht="13.5" customHeight="1">
      <c r="A24" s="3" t="s">
        <v>160</v>
      </c>
      <c r="B24" s="2"/>
      <c r="C24" s="2"/>
      <c r="D24" s="2"/>
    </row>
    <row r="25" ht="15.75" customHeight="1">
      <c r="A25" s="3" t="s">
        <v>161</v>
      </c>
      <c r="B25" s="2"/>
      <c r="C25" s="2"/>
      <c r="D25" s="2"/>
    </row>
    <row r="26" ht="15.75" customHeight="1">
      <c r="A26" s="3" t="s">
        <v>162</v>
      </c>
      <c r="B26" s="2"/>
      <c r="C26" s="2"/>
      <c r="D26" s="2"/>
    </row>
    <row r="27" ht="15.75" customHeight="1">
      <c r="A27" s="3" t="s">
        <v>163</v>
      </c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2.0"/>
    <col customWidth="1" min="3" max="26" width="8.71"/>
  </cols>
  <sheetData>
    <row r="1" ht="17.25" customHeight="1">
      <c r="A1" s="7" t="s">
        <v>19</v>
      </c>
      <c r="B1" s="2"/>
    </row>
    <row r="2">
      <c r="A2" s="2"/>
      <c r="B2" s="2"/>
    </row>
    <row r="3" ht="15.0" customHeight="1">
      <c r="A3" s="8" t="s">
        <v>24</v>
      </c>
      <c r="B3" s="8" t="s">
        <v>25</v>
      </c>
    </row>
    <row r="4" ht="15.0" customHeight="1">
      <c r="A4" s="9" t="s">
        <v>164</v>
      </c>
      <c r="B4" s="17">
        <v>30.0</v>
      </c>
    </row>
    <row r="5" ht="15.0" customHeight="1">
      <c r="A5" s="9" t="s">
        <v>165</v>
      </c>
      <c r="B5" s="17">
        <v>1.5</v>
      </c>
    </row>
    <row r="6" ht="15.0" customHeight="1">
      <c r="A6" s="9" t="s">
        <v>166</v>
      </c>
      <c r="B6" s="17">
        <v>5.0</v>
      </c>
    </row>
    <row r="7" ht="15.0" customHeight="1">
      <c r="A7" s="9" t="s">
        <v>167</v>
      </c>
      <c r="B7" s="10" t="s">
        <v>168</v>
      </c>
    </row>
    <row r="8" ht="15.0" customHeight="1">
      <c r="A8" s="9" t="s">
        <v>169</v>
      </c>
      <c r="B8" s="17">
        <v>60.0</v>
      </c>
    </row>
    <row r="9" ht="15.0" customHeight="1">
      <c r="A9" s="9" t="s">
        <v>170</v>
      </c>
      <c r="B9" s="17" t="s">
        <v>171</v>
      </c>
    </row>
    <row r="10" ht="15.0" customHeight="1">
      <c r="A10" s="9" t="s">
        <v>172</v>
      </c>
      <c r="B10" s="17" t="s">
        <v>173</v>
      </c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4" width="8.0"/>
    <col customWidth="1" min="5" max="5" width="14.0"/>
    <col customWidth="1" min="6" max="6" width="11.0"/>
    <col customWidth="1" min="7" max="7" width="12.0"/>
    <col customWidth="1" min="8" max="26" width="8.71"/>
  </cols>
  <sheetData>
    <row r="1" ht="21.0" customHeight="1">
      <c r="A1" s="7" t="s">
        <v>174</v>
      </c>
      <c r="B1" s="2"/>
      <c r="C1" s="2"/>
      <c r="D1" s="2"/>
      <c r="E1" s="2"/>
      <c r="F1" s="2"/>
      <c r="G1" s="2"/>
    </row>
    <row r="2" ht="15.0" customHeight="1">
      <c r="A2" s="3" t="s">
        <v>175</v>
      </c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 ht="15.0" customHeight="1">
      <c r="A4" s="18" t="s">
        <v>20</v>
      </c>
      <c r="B4" s="18" t="s">
        <v>176</v>
      </c>
      <c r="C4" s="18" t="s">
        <v>60</v>
      </c>
      <c r="D4" s="18" t="s">
        <v>177</v>
      </c>
      <c r="E4" s="18" t="s">
        <v>178</v>
      </c>
      <c r="F4" s="18" t="s">
        <v>179</v>
      </c>
      <c r="G4" s="18" t="s">
        <v>180</v>
      </c>
    </row>
    <row r="5" ht="15.0" customHeight="1">
      <c r="A5" s="12" t="s">
        <v>181</v>
      </c>
      <c r="B5" s="12">
        <v>13.0</v>
      </c>
      <c r="C5" s="12">
        <v>0.0</v>
      </c>
      <c r="D5" s="12">
        <v>0.0</v>
      </c>
      <c r="E5" s="9" t="s">
        <v>182</v>
      </c>
      <c r="F5" s="12">
        <f t="shared" ref="F5:F7" si="1">B5*8+C5*15+D5*12</f>
        <v>104</v>
      </c>
      <c r="G5" s="12" t="s">
        <v>183</v>
      </c>
    </row>
    <row r="6" ht="15.0" customHeight="1">
      <c r="A6" s="12" t="s">
        <v>184</v>
      </c>
      <c r="B6" s="12">
        <v>9.0</v>
      </c>
      <c r="C6" s="12">
        <v>0.0</v>
      </c>
      <c r="D6" s="12">
        <v>3.0</v>
      </c>
      <c r="E6" s="9" t="s">
        <v>185</v>
      </c>
      <c r="F6" s="12">
        <f t="shared" si="1"/>
        <v>108</v>
      </c>
      <c r="G6" s="12" t="s">
        <v>186</v>
      </c>
    </row>
    <row r="7" ht="15.0" customHeight="1">
      <c r="A7" s="12" t="s">
        <v>187</v>
      </c>
      <c r="B7" s="12">
        <v>14.0</v>
      </c>
      <c r="C7" s="12">
        <v>0.0</v>
      </c>
      <c r="D7" s="12">
        <v>0.0</v>
      </c>
      <c r="E7" s="9" t="s">
        <v>182</v>
      </c>
      <c r="F7" s="12">
        <f t="shared" si="1"/>
        <v>112</v>
      </c>
      <c r="G7" s="12" t="s">
        <v>186</v>
      </c>
    </row>
    <row r="8" ht="15.0" customHeight="1">
      <c r="A8" s="22" t="s">
        <v>188</v>
      </c>
      <c r="B8" s="23"/>
      <c r="C8" s="23"/>
      <c r="D8" s="23"/>
      <c r="E8" s="23"/>
      <c r="F8" s="23"/>
      <c r="G8" s="24"/>
    </row>
    <row r="9" ht="15.0" customHeight="1">
      <c r="A9" s="12" t="s">
        <v>189</v>
      </c>
      <c r="B9" s="12">
        <v>8.0</v>
      </c>
      <c r="C9" s="12">
        <v>3.0</v>
      </c>
      <c r="D9" s="12">
        <v>0.0</v>
      </c>
      <c r="E9" s="9" t="s">
        <v>185</v>
      </c>
      <c r="F9" s="12">
        <f t="shared" ref="F9:F11" si="2">B9*8+C9*15+D9*12</f>
        <v>109</v>
      </c>
      <c r="G9" s="12" t="s">
        <v>190</v>
      </c>
    </row>
    <row r="10" ht="15.0" customHeight="1">
      <c r="A10" s="12" t="s">
        <v>191</v>
      </c>
      <c r="B10" s="12">
        <v>5.0</v>
      </c>
      <c r="C10" s="12">
        <v>4.0</v>
      </c>
      <c r="D10" s="12">
        <v>2.0</v>
      </c>
      <c r="E10" s="9" t="s">
        <v>182</v>
      </c>
      <c r="F10" s="12">
        <f t="shared" si="2"/>
        <v>124</v>
      </c>
      <c r="G10" s="12" t="s">
        <v>192</v>
      </c>
    </row>
    <row r="11" ht="15.0" customHeight="1">
      <c r="A11" s="12" t="s">
        <v>193</v>
      </c>
      <c r="B11" s="12">
        <v>7.0</v>
      </c>
      <c r="C11" s="12">
        <v>3.0</v>
      </c>
      <c r="D11" s="12">
        <v>3.0</v>
      </c>
      <c r="E11" s="9" t="s">
        <v>185</v>
      </c>
      <c r="F11" s="12">
        <f t="shared" si="2"/>
        <v>137</v>
      </c>
      <c r="G11" s="12" t="s">
        <v>192</v>
      </c>
    </row>
    <row r="12" ht="15.0" customHeight="1">
      <c r="A12" s="22" t="s">
        <v>194</v>
      </c>
      <c r="B12" s="23"/>
      <c r="C12" s="23"/>
      <c r="D12" s="23"/>
      <c r="E12" s="23"/>
      <c r="F12" s="23"/>
      <c r="G12" s="24"/>
    </row>
    <row r="13" ht="15.0" customHeight="1">
      <c r="A13" s="11" t="s">
        <v>195</v>
      </c>
      <c r="B13" s="25" t="s">
        <v>196</v>
      </c>
      <c r="C13" s="23"/>
      <c r="D13" s="23"/>
      <c r="E13" s="24"/>
      <c r="F13" s="12" t="s">
        <v>88</v>
      </c>
      <c r="G13" s="12" t="s">
        <v>197</v>
      </c>
    </row>
    <row r="14">
      <c r="A14" s="2"/>
      <c r="B14" s="2"/>
      <c r="C14" s="2"/>
      <c r="D14" s="2"/>
      <c r="E14" s="2"/>
      <c r="F14" s="2"/>
      <c r="G14" s="2"/>
    </row>
    <row r="15" ht="15.0" customHeight="1">
      <c r="A15" s="4" t="s">
        <v>198</v>
      </c>
      <c r="B15" s="2"/>
      <c r="C15" s="2"/>
      <c r="D15" s="2"/>
      <c r="E15" s="2"/>
      <c r="F15" s="2"/>
      <c r="G15" s="2"/>
    </row>
    <row r="16" ht="13.5" customHeight="1">
      <c r="A16" s="26" t="s">
        <v>199</v>
      </c>
    </row>
    <row r="17" ht="13.5" customHeight="1">
      <c r="A17" s="26" t="s">
        <v>200</v>
      </c>
    </row>
    <row r="18" ht="13.5" customHeight="1">
      <c r="A18" s="26" t="s">
        <v>201</v>
      </c>
    </row>
    <row r="19" ht="13.5" customHeight="1">
      <c r="A19" s="26" t="s">
        <v>202</v>
      </c>
    </row>
    <row r="20" ht="13.5" customHeight="1">
      <c r="A20" s="26" t="s">
        <v>203</v>
      </c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8">
    <mergeCell ref="A8:G8"/>
    <mergeCell ref="A12:G12"/>
    <mergeCell ref="B13:E13"/>
    <mergeCell ref="A16:G16"/>
    <mergeCell ref="A17:G17"/>
    <mergeCell ref="A18:G18"/>
    <mergeCell ref="A19:G19"/>
    <mergeCell ref="A20:G20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3" width="12.0"/>
    <col customWidth="1" min="4" max="26" width="8.71"/>
  </cols>
  <sheetData>
    <row r="1" ht="17.25" customHeight="1">
      <c r="A1" s="7" t="s">
        <v>23</v>
      </c>
      <c r="B1" s="2"/>
      <c r="C1" s="2"/>
    </row>
    <row r="2">
      <c r="A2" s="2"/>
      <c r="B2" s="2"/>
      <c r="C2" s="2"/>
    </row>
    <row r="3" ht="16.5" customHeight="1">
      <c r="A3" s="8" t="s">
        <v>24</v>
      </c>
      <c r="B3" s="8" t="s">
        <v>204</v>
      </c>
      <c r="C3" s="2"/>
    </row>
    <row r="4" ht="15.0" customHeight="1">
      <c r="A4" s="9" t="s">
        <v>205</v>
      </c>
      <c r="B4" s="11" t="s">
        <v>206</v>
      </c>
      <c r="C4" s="2"/>
    </row>
    <row r="5" ht="15.0" customHeight="1">
      <c r="A5" s="9" t="s">
        <v>207</v>
      </c>
      <c r="B5" s="11" t="s">
        <v>208</v>
      </c>
      <c r="C5" s="2"/>
    </row>
    <row r="6" ht="15.0" customHeight="1">
      <c r="A6" s="9" t="s">
        <v>209</v>
      </c>
      <c r="B6" s="12" t="s">
        <v>210</v>
      </c>
      <c r="C6" s="2"/>
    </row>
    <row r="7" ht="15.0" customHeight="1">
      <c r="A7" s="9" t="s">
        <v>211</v>
      </c>
      <c r="B7" s="12" t="s">
        <v>212</v>
      </c>
      <c r="C7" s="2"/>
    </row>
    <row r="8" ht="15.0" customHeight="1">
      <c r="A8" s="9" t="s">
        <v>213</v>
      </c>
      <c r="B8" s="11" t="s">
        <v>214</v>
      </c>
      <c r="C8" s="2"/>
    </row>
    <row r="9" ht="15.0" customHeight="1">
      <c r="A9" s="9" t="s">
        <v>215</v>
      </c>
      <c r="B9" s="11" t="s">
        <v>216</v>
      </c>
      <c r="C9" s="2"/>
    </row>
    <row r="10" ht="15.0" customHeight="1">
      <c r="A10" s="9" t="s">
        <v>217</v>
      </c>
      <c r="B10" s="11" t="s">
        <v>218</v>
      </c>
      <c r="C10" s="2"/>
    </row>
    <row r="11">
      <c r="A11" s="2"/>
      <c r="B11" s="2"/>
      <c r="C11" s="2"/>
    </row>
    <row r="12" ht="16.5" customHeight="1">
      <c r="A12" s="4" t="s">
        <v>219</v>
      </c>
      <c r="B12" s="2"/>
      <c r="C12" s="2"/>
    </row>
    <row r="13" ht="15.0" customHeight="1">
      <c r="A13" s="8" t="s">
        <v>20</v>
      </c>
      <c r="B13" s="8" t="s">
        <v>220</v>
      </c>
      <c r="C13" s="8" t="s">
        <v>221</v>
      </c>
    </row>
    <row r="14" ht="15.0" customHeight="1">
      <c r="A14" s="16">
        <v>1.0</v>
      </c>
      <c r="B14" s="12">
        <f t="shared" ref="B14:B18" si="1">30*(1+0.1*A14)</f>
        <v>33</v>
      </c>
      <c r="C14" s="12">
        <f t="shared" ref="C14:C18" si="2">B14</f>
        <v>33</v>
      </c>
    </row>
    <row r="15" ht="15.0" customHeight="1">
      <c r="A15" s="16">
        <v>5.0</v>
      </c>
      <c r="B15" s="12">
        <f t="shared" si="1"/>
        <v>45</v>
      </c>
      <c r="C15" s="12">
        <f t="shared" si="2"/>
        <v>45</v>
      </c>
    </row>
    <row r="16" ht="15.0" customHeight="1">
      <c r="A16" s="16">
        <v>10.0</v>
      </c>
      <c r="B16" s="12">
        <f t="shared" si="1"/>
        <v>60</v>
      </c>
      <c r="C16" s="12">
        <f t="shared" si="2"/>
        <v>60</v>
      </c>
    </row>
    <row r="17" ht="15.0" customHeight="1">
      <c r="A17" s="16">
        <v>20.0</v>
      </c>
      <c r="B17" s="12">
        <f t="shared" si="1"/>
        <v>90</v>
      </c>
      <c r="C17" s="12">
        <f t="shared" si="2"/>
        <v>90</v>
      </c>
    </row>
    <row r="18" ht="15.0" customHeight="1">
      <c r="A18" s="16">
        <v>30.0</v>
      </c>
      <c r="B18" s="12">
        <f t="shared" si="1"/>
        <v>120</v>
      </c>
      <c r="C18" s="12">
        <f t="shared" si="2"/>
        <v>120</v>
      </c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2026-06-07T04:31:50Z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